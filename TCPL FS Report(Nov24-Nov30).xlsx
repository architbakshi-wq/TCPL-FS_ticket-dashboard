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so\Downloads\"/>
    </mc:Choice>
  </mc:AlternateContent>
  <xr:revisionPtr revIDLastSave="0" documentId="13_ncr:1_{8E620C28-979C-4FA3-98CB-DEC8717DB79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ickets Summary(Nov 24-Nov 30)" sheetId="2" r:id="rId1"/>
    <sheet name="Data" sheetId="3" r:id="rId2"/>
  </sheets>
  <calcPr calcId="0"/>
  <pivotCaches>
    <pivotCache cacheId="21" r:id="rId3"/>
  </pivotCaches>
</workbook>
</file>

<file path=xl/sharedStrings.xml><?xml version="1.0" encoding="utf-8"?>
<sst xmlns="http://schemas.openxmlformats.org/spreadsheetml/2006/main" count="238" uniqueCount="101">
  <si>
    <t>Closed Time</t>
  </si>
  <si>
    <t>Created Time</t>
  </si>
  <si>
    <t>Ticket Id</t>
  </si>
  <si>
    <t>Priority</t>
  </si>
  <si>
    <t>Resolution Status</t>
  </si>
  <si>
    <t>Status</t>
  </si>
  <si>
    <t>Subject</t>
  </si>
  <si>
    <t>TicketType</t>
  </si>
  <si>
    <t>2025-11-25 11:27:54</t>
  </si>
  <si>
    <t>2025-11-24 10:01:59</t>
  </si>
  <si>
    <t>Within SLA</t>
  </si>
  <si>
    <t>Closed</t>
  </si>
  <si>
    <t>RE: Under charge Review</t>
  </si>
  <si>
    <t>Not a Task (Info Only)</t>
  </si>
  <si>
    <t>2025-11-25 16:58:25</t>
  </si>
  <si>
    <t>2025-11-24 14:55:16</t>
  </si>
  <si>
    <t>RE: Payment due date exceed _ Bills Rejected in TMS</t>
  </si>
  <si>
    <t>Bug (Tech)</t>
  </si>
  <si>
    <t>2025-11-25 16:58:47</t>
  </si>
  <si>
    <t>2025-11-24 14:58:31</t>
  </si>
  <si>
    <t>Recall: Payment due date exceed _ Bills Rejected in TMS</t>
  </si>
  <si>
    <t>2025-11-26 15:15:17</t>
  </si>
  <si>
    <t>2025-11-25 09:24:44</t>
  </si>
  <si>
    <t>RE: Indent Notification Mails_Req. Branch Details with Mapped Mail IDs</t>
  </si>
  <si>
    <t>Configuration &amp; Master Update (Non-Tech)</t>
  </si>
  <si>
    <t>2025-11-28 21:36:11</t>
  </si>
  <si>
    <t>2025-11-25 11:48:57</t>
  </si>
  <si>
    <t>Trip | #8296229 &amp; Trip | #8283849</t>
  </si>
  <si>
    <t>2025-11-28 21:36:22</t>
  </si>
  <si>
    <t>2025-11-25 11:51:11</t>
  </si>
  <si>
    <t>SLA Violated</t>
  </si>
  <si>
    <t>Re: Trip | #8296229 &amp; Trip | #8283849</t>
  </si>
  <si>
    <t>Data Correction (Tech)</t>
  </si>
  <si>
    <t>2025-11-27 14:48:44</t>
  </si>
  <si>
    <t>2025-11-25 13:14:40</t>
  </si>
  <si>
    <t>Duplicate Invoice Showing IN TMS - NEED TO DELETE</t>
  </si>
  <si>
    <t>2025-11-26 19:48:38</t>
  </si>
  <si>
    <t>2025-11-25 14:31:53</t>
  </si>
  <si>
    <t>RE: WRONG VEHICLE TYPE ISSUED AGAINST VEHICLE NO.MP13ZC5282 INVOICE NO.0080451194 DTD.13.10.2025 OUR C/NOTE NO.183044.</t>
  </si>
  <si>
    <t>2025-11-26 19:50:51</t>
  </si>
  <si>
    <t>2025-11-25 15:31:00</t>
  </si>
  <si>
    <t>Re: LR NOT SHOWING IN THE SUPER PROCURE FOR BILLING.</t>
  </si>
  <si>
    <t>2025-11-26 17:04:54</t>
  </si>
  <si>
    <t>2025-11-25 16:41:41</t>
  </si>
  <si>
    <t>TO REJECT INVOICES FOR UPLOAD FRESH INVOICE</t>
  </si>
  <si>
    <t>2025-11-26 19:57:37</t>
  </si>
  <si>
    <t>2025-11-25 17:09:14</t>
  </si>
  <si>
    <t>Re: Request for Correction – IGST Not Reflecting for Siliguri to Sampla Transaction</t>
  </si>
  <si>
    <t>2025-11-26 17:10:26</t>
  </si>
  <si>
    <t>2025-11-25 18:12:18</t>
  </si>
  <si>
    <t>Alwar_Freight accounting &amp; Vendor mapping</t>
  </si>
  <si>
    <t>2025-11-27 16:46:06</t>
  </si>
  <si>
    <t>2025-11-26 12:15:28</t>
  </si>
  <si>
    <t>NOT SHOWN PORTAL</t>
  </si>
  <si>
    <t>2025-11-30 19:04:02</t>
  </si>
  <si>
    <t>2025-11-26 12:20:45</t>
  </si>
  <si>
    <t>INVOICE #1778 GOT PARKED MULTIPLE TIMES THROUGH SUPER PROCURE</t>
  </si>
  <si>
    <t>2025-11-27 16:47:39</t>
  </si>
  <si>
    <t>2025-11-26 13:58:50</t>
  </si>
  <si>
    <t>RE: Request to Update Load Factor in Portal</t>
  </si>
  <si>
    <t>2025-11-28 10:51:45</t>
  </si>
  <si>
    <t>2025-11-26 14:12:05</t>
  </si>
  <si>
    <t>Need to Add 1256 Code in unloading depot list.</t>
  </si>
  <si>
    <t>2025-11-27 16:43:43</t>
  </si>
  <si>
    <t>2025-11-26 14:12:11</t>
  </si>
  <si>
    <t>DO NO 80460026 Acknowledged for Billing- Bug | EXPRESS ROADWAYS PRIVATE LIMITED - Billing (credit.bby@expressroadways.co.in)</t>
  </si>
  <si>
    <t>2025-11-27 14:05:40</t>
  </si>
  <si>
    <t>2025-11-26 18:14:22</t>
  </si>
  <si>
    <t>REQUEST FOR CHANGE THE BILLING WEIGHT IN SUPERPROCURE.</t>
  </si>
  <si>
    <t>2025-11-27 16:42:30</t>
  </si>
  <si>
    <t>2025-11-26 19:11:44</t>
  </si>
  <si>
    <t>Invoice Cancellation</t>
  </si>
  <si>
    <t>2025-11-28 10:48:08</t>
  </si>
  <si>
    <t>2025-11-27 10:27:03</t>
  </si>
  <si>
    <t>Incorrect GST Calculation on Load ID -14917524- Bug | Goel Road Carriers Private Limited - Trilok Joshi (billing@grc-rls.com)</t>
  </si>
  <si>
    <t>2025-11-27 11:23:29</t>
  </si>
  <si>
    <t>BA Assigned</t>
  </si>
  <si>
    <t>Request to Update GST Rate to 18% as per Attached Screenshot- Bug | Goel Road Carriers Private Limited - Trilok Joshi (billing@grc-rls.com)</t>
  </si>
  <si>
    <t>2025-11-28 18:03:04</t>
  </si>
  <si>
    <t>2025-11-27 11:34:27</t>
  </si>
  <si>
    <t>Re: Added as CC - [#INC-48970] Request to Update GST Rate to 18% as per Attached Screenshot- Bug | Goel Road Carriers Private Limited</t>
  </si>
  <si>
    <t>2025-12-01 10:16:43</t>
  </si>
  <si>
    <t>2025-11-29 18:12:28</t>
  </si>
  <si>
    <t>Need to update LR number in Portal - 56792</t>
  </si>
  <si>
    <t>2025-12-01 10:18:26</t>
  </si>
  <si>
    <t>2025-11-29 18:22:23</t>
  </si>
  <si>
    <t>LR NOT SHOWING IN THE SUPER PROCURE FOR BILLING</t>
  </si>
  <si>
    <t>2025-12-01 11:29:46</t>
  </si>
  <si>
    <t>2025-11-29 23:00:10</t>
  </si>
  <si>
    <t>CN SLG272 DATED 1-11-25</t>
  </si>
  <si>
    <t>Shift Timing</t>
  </si>
  <si>
    <t>Within Shift</t>
  </si>
  <si>
    <t>After Shift</t>
  </si>
  <si>
    <t>P4</t>
  </si>
  <si>
    <t>P3</t>
  </si>
  <si>
    <t>P2</t>
  </si>
  <si>
    <t>TCPL FS Support Weekly Report (24 Nov 2025 - 30 Nov 2025)</t>
  </si>
  <si>
    <t>Row Labels</t>
  </si>
  <si>
    <t>Grand Total</t>
  </si>
  <si>
    <t>Count of Ticket 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</si>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</sst>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  <family val="1"/>
    </font>
    <font>
      <b/>
      <sz val="11"/>
      <name val="Arial"/>
      <family val="2"/>
    </font>
    <font>
      <sz val="16"/>
      <color theme="0"/>
      <name val="Arial"/>
      <family val="1"/>
    </font>
    <font>
      <sz val="16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2" fillId="3" borderId="0" xfId="0" applyFont="1" applyFill="1"/>
    <xf numFmtId="0" fontId="3" fillId="3" borderId="0" xfId="0" applyFont="1" applyFill="1"/>
    <xf numFmtId="0" fontId="0" fillId="3" borderId="6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[tickets-December-04-2025-20_22.xlsx]Data!PivotTable1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SLA</a:t>
            </a:r>
            <a:r>
              <a:rPr lang="en-US" baseline="0"/>
              <a:t> Adherence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Data!$AB$1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A4-4C1D-AC0F-2A1F68E0134B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9A4-4C1D-AC0F-2A1F68E013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Data!$AA$2:$AA$4</c:f>
              <c:strCache>
                <c:ptCount val="2"/>
                <c:pt idx="0">
                  <c:v>SLA Violated</c:v>
                </c:pt>
                <c:pt idx="1">
                  <c:v>Within SLA</c:v>
                </c:pt>
              </c:strCache>
            </c:strRef>
          </c:cat>
          <c:val>
            <c:numRef>
              <c:f>Data!$AB$2:$AB$4</c:f>
              <c:numCache>
                <c:formatCode>General</c:formatCode>
                <c:ptCount val="2"/>
                <c:pt idx="0">
                  <c:v>2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4-4C1D-AC0F-2A1F68E0134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[tickets-December-04-2025-20_22.xlsx]Data!PivotTable2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Ticket Types Received Based on Shift Timings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Data!$AE$1:$AE$2</c:f>
              <c:strCache>
                <c:ptCount val="1"/>
                <c:pt idx="0">
                  <c:v>After Shift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Data!$AD$3:$AD$7</c:f>
              <c:strCache>
                <c:ptCount val="4"/>
                <c:pt idx="0">
                  <c:v>Bug (Tech)</c:v>
                </c:pt>
                <c:pt idx="1">
                  <c:v>Configuration &amp; Master Update (Non-Tech)</c:v>
                </c:pt>
                <c:pt idx="2">
                  <c:v>Data Correction (Tech)</c:v>
                </c:pt>
                <c:pt idx="3">
                  <c:v>Not a Task (Info Only)</c:v>
                </c:pt>
              </c:strCache>
            </c:strRef>
          </c:cat>
          <c:val>
            <c:numRef>
              <c:f>Data!$AE$3:$AE$7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0-4CDD-8671-E4A645EA269F}"/>
            </c:ext>
          </c:extLst>
        </c:ser>
        <c:ser>
          <c:idx val="1"/>
          <c:order val="1"/>
          <c:tx>
            <c:strRef>
              <c:f>Data!$AF$1:$AF$2</c:f>
              <c:strCache>
                <c:ptCount val="1"/>
                <c:pt idx="0">
                  <c:v>Within Shift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Data!$AD$3:$AD$7</c:f>
              <c:strCache>
                <c:ptCount val="4"/>
                <c:pt idx="0">
                  <c:v>Bug (Tech)</c:v>
                </c:pt>
                <c:pt idx="1">
                  <c:v>Configuration &amp; Master Update (Non-Tech)</c:v>
                </c:pt>
                <c:pt idx="2">
                  <c:v>Data Correction (Tech)</c:v>
                </c:pt>
                <c:pt idx="3">
                  <c:v>Not a Task (Info Only)</c:v>
                </c:pt>
              </c:strCache>
            </c:strRef>
          </c:cat>
          <c:val>
            <c:numRef>
              <c:f>Data!$AF$3:$AF$7</c:f>
              <c:numCache>
                <c:formatCode>General</c:formatCode>
                <c:ptCount val="4"/>
                <c:pt idx="0">
                  <c:v>7</c:v>
                </c:pt>
                <c:pt idx="1">
                  <c:v>10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0-4CDD-8671-E4A645EA26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2449423"/>
        <c:axId val="762449903"/>
      </c:barChart>
      <c:catAx>
        <c:axId val="76244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49903"/>
        <c:crosses val="autoZero"/>
        <c:auto val="1"/>
        <c:lblAlgn val="ctr"/>
        <c:lblOffset val="100"/>
        <c:noMultiLvlLbl val="0"/>
      </c:catAx>
      <c:valAx>
        <c:axId val="76244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4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[tickets-December-04-2025-20_22.xlsx]Data!PivotTable3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Count of Tickets Classified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1B-4A54-AE80-BF3A87FF68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1B-4A54-AE80-BF3A87FF68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81B-4A54-AE80-BF3A87FF68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Data!$AA$10:$AA$13</c:f>
              <c:strCache>
                <c:ptCount val="3"/>
                <c:pt idx="0">
                  <c:v>P2</c:v>
                </c:pt>
                <c:pt idx="1">
                  <c:v>P3</c:v>
                </c:pt>
                <c:pt idx="2">
                  <c:v>P4</c:v>
                </c:pt>
              </c:strCache>
            </c:strRef>
          </c:cat>
          <c:val>
            <c:numRef>
              <c:f>Data!$AB$10:$AB$13</c:f>
              <c:numCache>
                <c:formatCode>General</c:formatCode>
                <c:ptCount val="3"/>
                <c:pt idx="0">
                  <c:v>3</c:v>
                </c:pt>
                <c:pt idx="1">
                  <c:v>17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B-4A54-AE80-BF3A87FF68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2465263"/>
        <c:axId val="762464783"/>
      </c:barChart>
      <c:catAx>
        <c:axId val="76246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64783"/>
        <c:crosses val="autoZero"/>
        <c:auto val="1"/>
        <c:lblAlgn val="ctr"/>
        <c:lblOffset val="100"/>
        <c:noMultiLvlLbl val="0"/>
      </c:catAx>
      <c:valAx>
        <c:axId val="76246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46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[tickets-December-04-2025-20_22.xlsx]Data!PivotTable4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Ticket Type Categorization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Data!$AE$9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48B-4D43-9807-B35C8B8A03CB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8B-4D43-9807-B35C8B8A03CB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8B-4D43-9807-B35C8B8A03CB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48B-4D43-9807-B35C8B8A03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Data!$AD$10:$AD$14</c:f>
              <c:strCache>
                <c:ptCount val="4"/>
                <c:pt idx="0">
                  <c:v>Bug (Tech)</c:v>
                </c:pt>
                <c:pt idx="1">
                  <c:v>Configuration &amp; Master Update (Non-Tech)</c:v>
                </c:pt>
                <c:pt idx="2">
                  <c:v>Data Correction (Tech)</c:v>
                </c:pt>
                <c:pt idx="3">
                  <c:v>Not a Task (Info Only)</c:v>
                </c:pt>
              </c:strCache>
            </c:strRef>
          </c:cat>
          <c:val>
            <c:numRef>
              <c:f>Data!$AE$10:$AE$14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B-4D43-9807-B35C8B8A03C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647700</xdr:colOff>
      <xdr:row>0</xdr:row>
      <xdr:rowOff>23815</xdr:rowOff>
    </xdr:from>
    <xdr:to>
      <xdr:col>14</xdr:col>
      <xdr:colOff>661988</xdr:colOff>
      <xdr:row>2</xdr:row>
      <xdr:rowOff>38101</xdr:rowOff>
    </xdr:to>
    <xdr:pic>
      <xdr:nvPicPr>
        <xdr:cNvPr id="2" name="Picture 1" descr="SuperProcure | LinkedIn">
          <a:extLst>
            <a:ext uri="{FF2B5EF4-FFF2-40B4-BE49-F238E27FC236}">
              <a16:creationId xmlns:a16="http://schemas.microsoft.com/office/drawing/2014/main" id="{3F6EEA2E-C9DC-4382-84AF-E1A8DAAEDD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750" b="38500"/>
        <a:stretch>
          <a:fillRect/>
        </a:stretch>
      </xdr:blipFill>
      <xdr:spPr bwMode="auto">
        <a:xfrm>
          <a:off x="8877300" y="23815"/>
          <a:ext cx="1385888" cy="357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23811</xdr:colOff>
      <xdr:row>5</xdr:row>
      <xdr:rowOff>133350</xdr:rowOff>
    </xdr:from>
    <xdr:to>
      <xdr:col>6</xdr:col>
      <xdr:colOff>523874</xdr:colOff>
      <xdr:row>20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10C6EF-C0C5-D3D3-C06F-FC08DD1D6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61911</xdr:colOff>
      <xdr:row>5</xdr:row>
      <xdr:rowOff>138111</xdr:rowOff>
    </xdr:from>
    <xdr:to>
      <xdr:col>14</xdr:col>
      <xdr:colOff>200024</xdr:colOff>
      <xdr:row>20</xdr:row>
      <xdr:rowOff>123824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BE5100-BD0C-D871-EB91-BF721B73D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</xdr:colOff>
      <xdr:row>23</xdr:row>
      <xdr:rowOff>104775</xdr:rowOff>
    </xdr:from>
    <xdr:to>
      <xdr:col>6</xdr:col>
      <xdr:colOff>519113</xdr:colOff>
      <xdr:row>39</xdr:row>
      <xdr:rowOff>119062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216D47-23B6-0E68-5408-204B71906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61912</xdr:colOff>
      <xdr:row>23</xdr:row>
      <xdr:rowOff>104774</xdr:rowOff>
    </xdr:from>
    <xdr:to>
      <xdr:col>14</xdr:col>
      <xdr:colOff>185737</xdr:colOff>
      <xdr:row>39</xdr:row>
      <xdr:rowOff>128588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26F974-0034-ECF9-3C76-51BAB7F98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P" refreshedDate="45995.85670138889" createdVersion="8" refreshedVersion="8" minRefreshableVersion="3" recordCount="30" xr:uid="{9695BFE9-19BD-42AD-8803-B3E0CA50720C}">
  <cacheSource type="worksheet">
    <worksheetSource ref="A1:I1048576" sheet="Tickets Summary(Nov 24-Nov 30)"/>
  </cacheSource>
  <cacheFields count="9">
    <cacheField name="Created Time" numFmtId="0">
      <sharedItems containsBlank="1"/>
    </cacheField>
    <cacheField name="Shift Timing" numFmtId="0">
      <sharedItems containsBlank="1" count="3">
        <s v="Within Shift"/>
        <s v="After Shift"/>
        <m/>
      </sharedItems>
    </cacheField>
    <cacheField name="Closed Time" numFmtId="0">
      <sharedItems containsBlank="1"/>
    </cacheField>
    <cacheField name="Resolution Status" numFmtId="0">
      <sharedItems containsBlank="1" count="4">
        <s v="Within SLA"/>
        <s v="SLA Violated"/>
        <m/>
        <s v="" u="1"/>
      </sharedItems>
    </cacheField>
    <cacheField name="TicketType" numFmtId="0">
      <sharedItems containsBlank="1" count="5">
        <s v="Not a Task (Info Only)"/>
        <s v="Bug (Tech)"/>
        <s v="Configuration &amp; Master Update (Non-Tech)"/>
        <s v="Data Correction (Tech)"/>
        <m/>
      </sharedItems>
    </cacheField>
    <cacheField name="Subject" numFmtId="0">
      <sharedItems containsBlank="1"/>
    </cacheField>
    <cacheField name="Ticket Id" numFmtId="0">
      <sharedItems containsString="0" containsBlank="1" containsNumber="1" containsInteger="1" minValue="48824" maxValue="49049"/>
    </cacheField>
    <cacheField name="Status" numFmtId="0">
      <sharedItems containsBlank="1"/>
    </cacheField>
    <cacheField name="Priority" numFmtId="0">
      <sharedItems containsBlank="1" count="4">
        <s v="P4"/>
        <s v="P3"/>
        <s v="P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2025-11-24 10:01:59"/>
    <x v="0"/>
    <s v="2025-11-25 11:27:54"/>
    <x v="0"/>
    <x v="0"/>
    <s v="RE: Under charge Review"/>
    <n v="48824"/>
    <s v="Closed"/>
    <x v="0"/>
  </r>
  <r>
    <s v="2025-11-24 14:55:16"/>
    <x v="0"/>
    <s v="2025-11-25 16:58:25"/>
    <x v="0"/>
    <x v="1"/>
    <s v="RE: Payment due date exceed _ Bills Rejected in TMS"/>
    <n v="48854"/>
    <s v="Closed"/>
    <x v="1"/>
  </r>
  <r>
    <s v="2025-11-24 14:58:31"/>
    <x v="0"/>
    <s v="2025-11-25 16:58:47"/>
    <x v="0"/>
    <x v="1"/>
    <s v="Recall: Payment due date exceed _ Bills Rejected in TMS"/>
    <n v="48855"/>
    <s v="Closed"/>
    <x v="0"/>
  </r>
  <r>
    <s v="2025-11-25 09:24:44"/>
    <x v="0"/>
    <s v="2025-11-26 15:15:17"/>
    <x v="0"/>
    <x v="2"/>
    <s v="RE: Indent Notification Mails_Req. Branch Details with Mapped Mail IDs"/>
    <n v="48882"/>
    <s v="Closed"/>
    <x v="1"/>
  </r>
  <r>
    <s v="2025-11-25 11:48:57"/>
    <x v="0"/>
    <s v="2025-11-28 21:36:11"/>
    <x v="0"/>
    <x v="2"/>
    <s v="Trip | #8296229 &amp; Trip | #8283849"/>
    <n v="48893"/>
    <s v="Closed"/>
    <x v="1"/>
  </r>
  <r>
    <s v="2025-11-25 11:51:11"/>
    <x v="0"/>
    <s v="2025-11-28 21:36:22"/>
    <x v="1"/>
    <x v="3"/>
    <s v="Re: Trip | #8296229 &amp; Trip | #8283849"/>
    <n v="48894"/>
    <s v="Closed"/>
    <x v="2"/>
  </r>
  <r>
    <s v="2025-11-25 13:14:40"/>
    <x v="0"/>
    <s v="2025-11-27 14:48:44"/>
    <x v="0"/>
    <x v="2"/>
    <s v="Duplicate Invoice Showing IN TMS - NEED TO DELETE"/>
    <n v="48897"/>
    <s v="Closed"/>
    <x v="2"/>
  </r>
  <r>
    <s v="2025-11-25 14:31:53"/>
    <x v="0"/>
    <s v="2025-11-26 19:48:38"/>
    <x v="0"/>
    <x v="1"/>
    <s v="RE: WRONG VEHICLE TYPE ISSUED AGAINST VEHICLE NO.MP13ZC5282 INVOICE NO.0080451194 DTD.13.10.2025 OUR C/NOTE NO.183044."/>
    <n v="48905"/>
    <s v="Closed"/>
    <x v="1"/>
  </r>
  <r>
    <s v="2025-11-25 15:31:00"/>
    <x v="0"/>
    <s v="2025-11-26 19:50:51"/>
    <x v="0"/>
    <x v="1"/>
    <s v="Re: LR NOT SHOWING IN THE SUPER PROCURE FOR BILLING."/>
    <n v="48911"/>
    <s v="Closed"/>
    <x v="1"/>
  </r>
  <r>
    <s v="2025-11-25 16:41:41"/>
    <x v="0"/>
    <s v="2025-11-26 17:04:54"/>
    <x v="0"/>
    <x v="2"/>
    <s v="TO REJECT INVOICES FOR UPLOAD FRESH INVOICE"/>
    <n v="48916"/>
    <s v="Closed"/>
    <x v="1"/>
  </r>
  <r>
    <s v="2025-11-25 17:09:14"/>
    <x v="0"/>
    <s v="2025-11-26 19:57:37"/>
    <x v="0"/>
    <x v="2"/>
    <s v="Re: Request for Correction – IGST Not Reflecting for Siliguri to Sampla Transaction"/>
    <n v="48918"/>
    <s v="Closed"/>
    <x v="1"/>
  </r>
  <r>
    <s v="2025-11-25 18:12:18"/>
    <x v="1"/>
    <s v="2025-11-26 17:10:26"/>
    <x v="0"/>
    <x v="2"/>
    <s v="Alwar_Freight accounting &amp; Vendor mapping"/>
    <n v="48921"/>
    <s v="Closed"/>
    <x v="1"/>
  </r>
  <r>
    <s v="2025-11-26 12:15:28"/>
    <x v="0"/>
    <s v="2025-11-27 16:46:06"/>
    <x v="0"/>
    <x v="1"/>
    <s v="NOT SHOWN PORTAL"/>
    <n v="48933"/>
    <s v="Closed"/>
    <x v="1"/>
  </r>
  <r>
    <s v="2025-11-26 12:20:45"/>
    <x v="0"/>
    <s v="2025-11-30 19:04:02"/>
    <x v="0"/>
    <x v="1"/>
    <s v="INVOICE #1778 GOT PARKED MULTIPLE TIMES THROUGH SUPER PROCURE"/>
    <n v="48934"/>
    <s v="Closed"/>
    <x v="2"/>
  </r>
  <r>
    <s v="2025-11-26 13:58:50"/>
    <x v="0"/>
    <s v="2025-11-27 16:47:39"/>
    <x v="0"/>
    <x v="2"/>
    <s v="RE: Request to Update Load Factor in Portal"/>
    <n v="48942"/>
    <s v="Closed"/>
    <x v="1"/>
  </r>
  <r>
    <s v="2025-11-26 14:12:05"/>
    <x v="0"/>
    <s v="2025-11-28 10:51:45"/>
    <x v="0"/>
    <x v="2"/>
    <s v="Need to Add 1256 Code in unloading depot list."/>
    <n v="48945"/>
    <s v="Closed"/>
    <x v="1"/>
  </r>
  <r>
    <s v="2025-11-26 14:12:11"/>
    <x v="0"/>
    <s v="2025-11-27 16:43:43"/>
    <x v="0"/>
    <x v="2"/>
    <s v="DO NO 80460026 Acknowledged for Billing- Bug | EXPRESS ROADWAYS PRIVATE LIMITED - Billing (credit.bby@expressroadways.co.in)"/>
    <n v="48946"/>
    <s v="Closed"/>
    <x v="0"/>
  </r>
  <r>
    <s v="2025-11-26 18:14:22"/>
    <x v="1"/>
    <s v="2025-11-27 14:05:40"/>
    <x v="0"/>
    <x v="2"/>
    <s v="REQUEST FOR CHANGE THE BILLING WEIGHT IN SUPERPROCURE."/>
    <n v="48955"/>
    <s v="Closed"/>
    <x v="1"/>
  </r>
  <r>
    <s v="2025-11-26 19:11:44"/>
    <x v="1"/>
    <s v="2025-11-27 16:42:30"/>
    <x v="0"/>
    <x v="2"/>
    <s v="Invoice Cancellation"/>
    <n v="48957"/>
    <s v="Closed"/>
    <x v="1"/>
  </r>
  <r>
    <s v="2025-11-27 10:27:03"/>
    <x v="0"/>
    <s v="2025-11-28 10:48:08"/>
    <x v="0"/>
    <x v="1"/>
    <s v="Incorrect GST Calculation on Load ID -14917524- Bug | Goel Road Carriers Private Limited - Trilok Joshi (billing@grc-rls.com)"/>
    <n v="48965"/>
    <s v="Closed"/>
    <x v="1"/>
  </r>
  <r>
    <s v="2025-11-27 11:23:29"/>
    <x v="0"/>
    <m/>
    <x v="1"/>
    <x v="2"/>
    <s v="Request to Update GST Rate to 18% as per Attached Screenshot- Bug | Goel Road Carriers Private Limited - Trilok Joshi (billing@grc-rls.com)"/>
    <n v="48970"/>
    <s v="BA Assigned"/>
    <x v="1"/>
  </r>
  <r>
    <s v="2025-11-27 11:34:27"/>
    <x v="0"/>
    <s v="2025-11-28 18:03:04"/>
    <x v="0"/>
    <x v="2"/>
    <s v="Re: Added as CC - [#INC-48970] Request to Update GST Rate to 18% as per Attached Screenshot- Bug | Goel Road Carriers Private Limited"/>
    <n v="48972"/>
    <s v="Closed"/>
    <x v="1"/>
  </r>
  <r>
    <s v="2025-11-29 18:12:28"/>
    <x v="1"/>
    <s v="2025-12-01 10:16:43"/>
    <x v="0"/>
    <x v="2"/>
    <s v="Need to update LR number in Portal - 56792"/>
    <n v="49047"/>
    <s v="Closed"/>
    <x v="1"/>
  </r>
  <r>
    <s v="2025-11-29 18:22:23"/>
    <x v="1"/>
    <s v="2025-12-01 10:18:26"/>
    <x v="0"/>
    <x v="1"/>
    <s v="LR NOT SHOWING IN THE SUPER PROCURE FOR BILLING"/>
    <n v="49048"/>
    <s v="Closed"/>
    <x v="0"/>
  </r>
  <r>
    <s v="2025-11-29 23:00:10"/>
    <x v="1"/>
    <s v="2025-12-01 11:29:46"/>
    <x v="0"/>
    <x v="2"/>
    <s v="CN SLG272 DATED 1-11-25"/>
    <n v="49049"/>
    <s v="Closed"/>
    <x v="0"/>
  </r>
  <r>
    <m/>
    <x v="2"/>
    <m/>
    <x v="2"/>
    <x v="4"/>
    <m/>
    <m/>
    <m/>
    <x v="3"/>
  </r>
  <r>
    <m/>
    <x v="2"/>
    <m/>
    <x v="2"/>
    <x v="4"/>
    <m/>
    <m/>
    <m/>
    <x v="3"/>
  </r>
  <r>
    <m/>
    <x v="2"/>
    <m/>
    <x v="2"/>
    <x v="4"/>
    <m/>
    <m/>
    <m/>
    <x v="3"/>
  </r>
  <r>
    <m/>
    <x v="2"/>
    <m/>
    <x v="2"/>
    <x v="4"/>
    <m/>
    <m/>
    <m/>
    <x v="3"/>
  </r>
  <r>
    <m/>
    <x v="2"/>
    <m/>
    <x v="2"/>
    <x v="4"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AD49F-B7BF-4C7B-B896-1258E016BB57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D9:AE14" firstHeaderRow="1" firstDataRow="1" firstDataCol="1"/>
  <pivotFields count="9">
    <pivotField showAll="0"/>
    <pivotField showAll="0"/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icket Id" fld="6" subtotal="count" baseField="4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94030-C638-4022-8D4F-6EAA71803F57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A9:AB13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2"/>
        <item x="1"/>
        <item x="0"/>
        <item h="1" x="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 Id" fld="6" subtotal="count" baseField="8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E6ABA-6A21-424C-BC36-9719E844EA69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D1:AG7" firstHeaderRow="1" firstDataRow="2" firstDataCol="1"/>
  <pivotFields count="9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Ticket Id" fld="6" subtotal="count" baseField="4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43FD7-0E79-46DF-80CC-06048358AF9A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A1:AB4" firstHeaderRow="1" firstDataRow="1" firstDataCol="1"/>
  <pivotFields count="9">
    <pivotField showAll="0"/>
    <pivotField showAll="0"/>
    <pivotField showAll="0"/>
    <pivotField axis="axisRow" showAll="0">
      <items count="5">
        <item m="1" x="3"/>
        <item x="1"/>
        <item x="0"/>
        <item h="1"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3">
    <i>
      <x v="1"/>
    </i>
    <i>
      <x v="2"/>
    </i>
    <i t="grand">
      <x/>
    </i>
  </rowItems>
  <colItems count="1">
    <i/>
  </colItems>
  <dataFields count="1">
    <dataField name="Count of Ticket Id" fld="6" subtotal="count" baseField="3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974D-7256-4C50-B255-F61A6AC8763C}">
  <dimension ref="A1:I26"/>
  <sheetViews>
    <sheetView workbookViewId="0">
      <selection sqref="A1:XFD1048576"/>
    </sheetView>
  </sheetViews>
  <sheetFormatPr defaultRowHeight="13.5" x14ac:dyDescent="0.35"/>
  <cols>
    <col min="1" max="1" width="24.1875" style="3" bestFit="1" customWidth="1"/>
    <col min="2" max="2" width="26.3125" style="3" customWidth="1"/>
    <col min="3" max="3" width="24.1875" style="3" bestFit="1" customWidth="1"/>
    <col min="4" max="4" width="22" style="3" bestFit="1" customWidth="1"/>
    <col min="5" max="5" width="47.3125" style="3" bestFit="1" customWidth="1"/>
    <col min="6" max="6" width="87.125" style="4" customWidth="1"/>
    <col min="7" max="7" width="13.1875" style="3" bestFit="1" customWidth="1"/>
    <col min="8" max="8" width="15.375" style="3" bestFit="1" customWidth="1"/>
    <col min="9" max="9" width="12.125" style="3" bestFit="1" customWidth="1"/>
    <col min="10" max="16384" width="9" style="3"/>
  </cols>
  <sheetData>
    <row r="1" spans="1:9" s="1" customFormat="1" ht="13.9" x14ac:dyDescent="0.4">
      <c r="A1" s="1" t="s">
        <v>1</v>
      </c>
      <c r="B1" s="1" t="s">
        <v>90</v>
      </c>
      <c r="C1" s="1" t="s">
        <v>0</v>
      </c>
      <c r="D1" s="1" t="s">
        <v>4</v>
      </c>
      <c r="E1" s="1" t="s">
        <v>7</v>
      </c>
      <c r="F1" s="2" t="s">
        <v>6</v>
      </c>
      <c r="G1" s="1" t="s">
        <v>2</v>
      </c>
      <c r="H1" s="1" t="s">
        <v>5</v>
      </c>
      <c r="I1" s="1" t="s">
        <v>3</v>
      </c>
    </row>
    <row r="2" spans="1:9" x14ac:dyDescent="0.35">
      <c r="A2" s="3" t="s">
        <v>9</v>
      </c>
      <c r="B2" s="3" t="s">
        <v>91</v>
      </c>
      <c r="C2" s="3" t="s">
        <v>8</v>
      </c>
      <c r="D2" s="3" t="s">
        <v>10</v>
      </c>
      <c r="E2" s="3" t="s">
        <v>13</v>
      </c>
      <c r="F2" s="4" t="s">
        <v>12</v>
      </c>
      <c r="G2" s="3">
        <v>48824</v>
      </c>
      <c r="H2" s="3" t="s">
        <v>11</v>
      </c>
      <c r="I2" s="3" t="s">
        <v>93</v>
      </c>
    </row>
    <row r="3" spans="1:9" x14ac:dyDescent="0.35">
      <c r="A3" s="3" t="s">
        <v>15</v>
      </c>
      <c r="B3" s="3" t="s">
        <v>91</v>
      </c>
      <c r="C3" s="3" t="s">
        <v>14</v>
      </c>
      <c r="D3" s="3" t="s">
        <v>10</v>
      </c>
      <c r="E3" s="3" t="s">
        <v>17</v>
      </c>
      <c r="F3" s="4" t="s">
        <v>16</v>
      </c>
      <c r="G3" s="3">
        <v>48854</v>
      </c>
      <c r="H3" s="3" t="s">
        <v>11</v>
      </c>
      <c r="I3" s="3" t="s">
        <v>94</v>
      </c>
    </row>
    <row r="4" spans="1:9" x14ac:dyDescent="0.35">
      <c r="A4" s="3" t="s">
        <v>19</v>
      </c>
      <c r="B4" s="3" t="s">
        <v>91</v>
      </c>
      <c r="C4" s="3" t="s">
        <v>18</v>
      </c>
      <c r="D4" s="3" t="s">
        <v>10</v>
      </c>
      <c r="E4" s="3" t="s">
        <v>17</v>
      </c>
      <c r="F4" s="4" t="s">
        <v>20</v>
      </c>
      <c r="G4" s="3">
        <v>48855</v>
      </c>
      <c r="H4" s="3" t="s">
        <v>11</v>
      </c>
      <c r="I4" s="3" t="s">
        <v>93</v>
      </c>
    </row>
    <row r="5" spans="1:9" x14ac:dyDescent="0.35">
      <c r="A5" s="3" t="s">
        <v>22</v>
      </c>
      <c r="B5" s="3" t="s">
        <v>91</v>
      </c>
      <c r="C5" s="3" t="s">
        <v>21</v>
      </c>
      <c r="D5" s="3" t="s">
        <v>10</v>
      </c>
      <c r="E5" s="3" t="s">
        <v>24</v>
      </c>
      <c r="F5" s="4" t="s">
        <v>23</v>
      </c>
      <c r="G5" s="3">
        <v>48882</v>
      </c>
      <c r="H5" s="3" t="s">
        <v>11</v>
      </c>
      <c r="I5" s="3" t="s">
        <v>94</v>
      </c>
    </row>
    <row r="6" spans="1:9" x14ac:dyDescent="0.35">
      <c r="A6" s="3" t="s">
        <v>26</v>
      </c>
      <c r="B6" s="3" t="s">
        <v>91</v>
      </c>
      <c r="C6" s="3" t="s">
        <v>25</v>
      </c>
      <c r="D6" s="3" t="s">
        <v>10</v>
      </c>
      <c r="E6" s="3" t="s">
        <v>24</v>
      </c>
      <c r="F6" s="4" t="s">
        <v>27</v>
      </c>
      <c r="G6" s="3">
        <v>48893</v>
      </c>
      <c r="H6" s="3" t="s">
        <v>11</v>
      </c>
      <c r="I6" s="3" t="s">
        <v>94</v>
      </c>
    </row>
    <row r="7" spans="1:9" x14ac:dyDescent="0.35">
      <c r="A7" s="3" t="s">
        <v>29</v>
      </c>
      <c r="B7" s="3" t="s">
        <v>91</v>
      </c>
      <c r="C7" s="3" t="s">
        <v>28</v>
      </c>
      <c r="D7" s="3" t="s">
        <v>30</v>
      </c>
      <c r="E7" s="3" t="s">
        <v>32</v>
      </c>
      <c r="F7" s="4" t="s">
        <v>31</v>
      </c>
      <c r="G7" s="3">
        <v>48894</v>
      </c>
      <c r="H7" s="3" t="s">
        <v>11</v>
      </c>
      <c r="I7" s="3" t="s">
        <v>95</v>
      </c>
    </row>
    <row r="8" spans="1:9" x14ac:dyDescent="0.35">
      <c r="A8" s="3" t="s">
        <v>34</v>
      </c>
      <c r="B8" s="3" t="s">
        <v>91</v>
      </c>
      <c r="C8" s="3" t="s">
        <v>33</v>
      </c>
      <c r="D8" s="3" t="s">
        <v>10</v>
      </c>
      <c r="E8" s="3" t="s">
        <v>24</v>
      </c>
      <c r="F8" s="4" t="s">
        <v>35</v>
      </c>
      <c r="G8" s="3">
        <v>48897</v>
      </c>
      <c r="H8" s="3" t="s">
        <v>11</v>
      </c>
      <c r="I8" s="3" t="s">
        <v>95</v>
      </c>
    </row>
    <row r="9" spans="1:9" ht="27" x14ac:dyDescent="0.35">
      <c r="A9" s="3" t="s">
        <v>37</v>
      </c>
      <c r="B9" s="3" t="s">
        <v>91</v>
      </c>
      <c r="C9" s="3" t="s">
        <v>36</v>
      </c>
      <c r="D9" s="3" t="s">
        <v>10</v>
      </c>
      <c r="E9" s="3" t="s">
        <v>17</v>
      </c>
      <c r="F9" s="4" t="s">
        <v>38</v>
      </c>
      <c r="G9" s="3">
        <v>48905</v>
      </c>
      <c r="H9" s="3" t="s">
        <v>11</v>
      </c>
      <c r="I9" s="3" t="s">
        <v>94</v>
      </c>
    </row>
    <row r="10" spans="1:9" x14ac:dyDescent="0.35">
      <c r="A10" s="3" t="s">
        <v>40</v>
      </c>
      <c r="B10" s="3" t="s">
        <v>91</v>
      </c>
      <c r="C10" s="3" t="s">
        <v>39</v>
      </c>
      <c r="D10" s="3" t="s">
        <v>10</v>
      </c>
      <c r="E10" s="3" t="s">
        <v>17</v>
      </c>
      <c r="F10" s="4" t="s">
        <v>41</v>
      </c>
      <c r="G10" s="3">
        <v>48911</v>
      </c>
      <c r="H10" s="3" t="s">
        <v>11</v>
      </c>
      <c r="I10" s="3" t="s">
        <v>94</v>
      </c>
    </row>
    <row r="11" spans="1:9" x14ac:dyDescent="0.35">
      <c r="A11" s="3" t="s">
        <v>43</v>
      </c>
      <c r="B11" s="3" t="s">
        <v>91</v>
      </c>
      <c r="C11" s="3" t="s">
        <v>42</v>
      </c>
      <c r="D11" s="3" t="s">
        <v>10</v>
      </c>
      <c r="E11" s="3" t="s">
        <v>24</v>
      </c>
      <c r="F11" s="4" t="s">
        <v>44</v>
      </c>
      <c r="G11" s="3">
        <v>48916</v>
      </c>
      <c r="H11" s="3" t="s">
        <v>11</v>
      </c>
      <c r="I11" s="3" t="s">
        <v>94</v>
      </c>
    </row>
    <row r="12" spans="1:9" x14ac:dyDescent="0.35">
      <c r="A12" s="3" t="s">
        <v>46</v>
      </c>
      <c r="B12" s="3" t="s">
        <v>91</v>
      </c>
      <c r="C12" s="3" t="s">
        <v>45</v>
      </c>
      <c r="D12" s="3" t="s">
        <v>10</v>
      </c>
      <c r="E12" s="3" t="s">
        <v>24</v>
      </c>
      <c r="F12" s="4" t="s">
        <v>47</v>
      </c>
      <c r="G12" s="3">
        <v>48918</v>
      </c>
      <c r="H12" s="3" t="s">
        <v>11</v>
      </c>
      <c r="I12" s="3" t="s">
        <v>94</v>
      </c>
    </row>
    <row r="13" spans="1:9" x14ac:dyDescent="0.35">
      <c r="A13" s="3" t="s">
        <v>49</v>
      </c>
      <c r="B13" s="3" t="s">
        <v>92</v>
      </c>
      <c r="C13" s="3" t="s">
        <v>48</v>
      </c>
      <c r="D13" s="3" t="s">
        <v>10</v>
      </c>
      <c r="E13" s="3" t="s">
        <v>24</v>
      </c>
      <c r="F13" s="4" t="s">
        <v>50</v>
      </c>
      <c r="G13" s="3">
        <v>48921</v>
      </c>
      <c r="H13" s="3" t="s">
        <v>11</v>
      </c>
      <c r="I13" s="3" t="s">
        <v>94</v>
      </c>
    </row>
    <row r="14" spans="1:9" x14ac:dyDescent="0.35">
      <c r="A14" s="3" t="s">
        <v>52</v>
      </c>
      <c r="B14" s="3" t="s">
        <v>91</v>
      </c>
      <c r="C14" s="3" t="s">
        <v>51</v>
      </c>
      <c r="D14" s="3" t="s">
        <v>10</v>
      </c>
      <c r="E14" s="3" t="s">
        <v>17</v>
      </c>
      <c r="F14" s="4" t="s">
        <v>53</v>
      </c>
      <c r="G14" s="3">
        <v>48933</v>
      </c>
      <c r="H14" s="3" t="s">
        <v>11</v>
      </c>
      <c r="I14" s="3" t="s">
        <v>94</v>
      </c>
    </row>
    <row r="15" spans="1:9" x14ac:dyDescent="0.35">
      <c r="A15" s="3" t="s">
        <v>55</v>
      </c>
      <c r="B15" s="3" t="s">
        <v>91</v>
      </c>
      <c r="C15" s="3" t="s">
        <v>54</v>
      </c>
      <c r="D15" s="3" t="s">
        <v>10</v>
      </c>
      <c r="E15" s="3" t="s">
        <v>17</v>
      </c>
      <c r="F15" s="4" t="s">
        <v>56</v>
      </c>
      <c r="G15" s="3">
        <v>48934</v>
      </c>
      <c r="H15" s="3" t="s">
        <v>11</v>
      </c>
      <c r="I15" s="3" t="s">
        <v>95</v>
      </c>
    </row>
    <row r="16" spans="1:9" x14ac:dyDescent="0.35">
      <c r="A16" s="3" t="s">
        <v>58</v>
      </c>
      <c r="B16" s="3" t="s">
        <v>91</v>
      </c>
      <c r="C16" s="3" t="s">
        <v>57</v>
      </c>
      <c r="D16" s="3" t="s">
        <v>10</v>
      </c>
      <c r="E16" s="3" t="s">
        <v>24</v>
      </c>
      <c r="F16" s="4" t="s">
        <v>59</v>
      </c>
      <c r="G16" s="3">
        <v>48942</v>
      </c>
      <c r="H16" s="3" t="s">
        <v>11</v>
      </c>
      <c r="I16" s="3" t="s">
        <v>94</v>
      </c>
    </row>
    <row r="17" spans="1:9" x14ac:dyDescent="0.35">
      <c r="A17" s="3" t="s">
        <v>61</v>
      </c>
      <c r="B17" s="3" t="s">
        <v>91</v>
      </c>
      <c r="C17" s="3" t="s">
        <v>60</v>
      </c>
      <c r="D17" s="3" t="s">
        <v>10</v>
      </c>
      <c r="E17" s="3" t="s">
        <v>24</v>
      </c>
      <c r="F17" s="4" t="s">
        <v>62</v>
      </c>
      <c r="G17" s="3">
        <v>48945</v>
      </c>
      <c r="H17" s="3" t="s">
        <v>11</v>
      </c>
      <c r="I17" s="3" t="s">
        <v>94</v>
      </c>
    </row>
    <row r="18" spans="1:9" ht="27" x14ac:dyDescent="0.35">
      <c r="A18" s="3" t="s">
        <v>64</v>
      </c>
      <c r="B18" s="3" t="s">
        <v>91</v>
      </c>
      <c r="C18" s="3" t="s">
        <v>63</v>
      </c>
      <c r="D18" s="3" t="s">
        <v>10</v>
      </c>
      <c r="E18" s="3" t="s">
        <v>24</v>
      </c>
      <c r="F18" s="4" t="s">
        <v>65</v>
      </c>
      <c r="G18" s="3">
        <v>48946</v>
      </c>
      <c r="H18" s="3" t="s">
        <v>11</v>
      </c>
      <c r="I18" s="3" t="s">
        <v>93</v>
      </c>
    </row>
    <row r="19" spans="1:9" x14ac:dyDescent="0.35">
      <c r="A19" s="3" t="s">
        <v>67</v>
      </c>
      <c r="B19" s="3" t="s">
        <v>92</v>
      </c>
      <c r="C19" s="3" t="s">
        <v>66</v>
      </c>
      <c r="D19" s="3" t="s">
        <v>10</v>
      </c>
      <c r="E19" s="3" t="s">
        <v>24</v>
      </c>
      <c r="F19" s="4" t="s">
        <v>68</v>
      </c>
      <c r="G19" s="3">
        <v>48955</v>
      </c>
      <c r="H19" s="3" t="s">
        <v>11</v>
      </c>
      <c r="I19" s="3" t="s">
        <v>94</v>
      </c>
    </row>
    <row r="20" spans="1:9" x14ac:dyDescent="0.35">
      <c r="A20" s="3" t="s">
        <v>70</v>
      </c>
      <c r="B20" s="3" t="s">
        <v>92</v>
      </c>
      <c r="C20" s="3" t="s">
        <v>69</v>
      </c>
      <c r="D20" s="3" t="s">
        <v>10</v>
      </c>
      <c r="E20" s="3" t="s">
        <v>24</v>
      </c>
      <c r="F20" s="4" t="s">
        <v>71</v>
      </c>
      <c r="G20" s="3">
        <v>48957</v>
      </c>
      <c r="H20" s="3" t="s">
        <v>11</v>
      </c>
      <c r="I20" s="3" t="s">
        <v>94</v>
      </c>
    </row>
    <row r="21" spans="1:9" ht="27" x14ac:dyDescent="0.35">
      <c r="A21" s="3" t="s">
        <v>73</v>
      </c>
      <c r="B21" s="3" t="s">
        <v>91</v>
      </c>
      <c r="C21" s="3" t="s">
        <v>72</v>
      </c>
      <c r="D21" s="3" t="s">
        <v>10</v>
      </c>
      <c r="E21" s="3" t="s">
        <v>17</v>
      </c>
      <c r="F21" s="4" t="s">
        <v>74</v>
      </c>
      <c r="G21" s="3">
        <v>48965</v>
      </c>
      <c r="H21" s="3" t="s">
        <v>11</v>
      </c>
      <c r="I21" s="3" t="s">
        <v>94</v>
      </c>
    </row>
    <row r="22" spans="1:9" ht="27" x14ac:dyDescent="0.35">
      <c r="A22" s="3" t="s">
        <v>75</v>
      </c>
      <c r="B22" s="3" t="s">
        <v>91</v>
      </c>
      <c r="D22" s="3" t="s">
        <v>30</v>
      </c>
      <c r="E22" s="3" t="s">
        <v>24</v>
      </c>
      <c r="F22" s="4" t="s">
        <v>77</v>
      </c>
      <c r="G22" s="3">
        <v>48970</v>
      </c>
      <c r="H22" s="3" t="s">
        <v>76</v>
      </c>
      <c r="I22" s="3" t="s">
        <v>94</v>
      </c>
    </row>
    <row r="23" spans="1:9" ht="27" x14ac:dyDescent="0.35">
      <c r="A23" s="3" t="s">
        <v>79</v>
      </c>
      <c r="B23" s="3" t="s">
        <v>91</v>
      </c>
      <c r="C23" s="3" t="s">
        <v>78</v>
      </c>
      <c r="D23" s="3" t="s">
        <v>10</v>
      </c>
      <c r="E23" s="3" t="s">
        <v>24</v>
      </c>
      <c r="F23" s="4" t="s">
        <v>80</v>
      </c>
      <c r="G23" s="3">
        <v>48972</v>
      </c>
      <c r="H23" s="3" t="s">
        <v>11</v>
      </c>
      <c r="I23" s="3" t="s">
        <v>94</v>
      </c>
    </row>
    <row r="24" spans="1:9" x14ac:dyDescent="0.35">
      <c r="A24" s="3" t="s">
        <v>82</v>
      </c>
      <c r="B24" s="3" t="s">
        <v>92</v>
      </c>
      <c r="C24" s="3" t="s">
        <v>81</v>
      </c>
      <c r="D24" s="3" t="s">
        <v>10</v>
      </c>
      <c r="E24" s="3" t="s">
        <v>24</v>
      </c>
      <c r="F24" s="4" t="s">
        <v>83</v>
      </c>
      <c r="G24" s="3">
        <v>49047</v>
      </c>
      <c r="H24" s="3" t="s">
        <v>11</v>
      </c>
      <c r="I24" s="3" t="s">
        <v>94</v>
      </c>
    </row>
    <row r="25" spans="1:9" x14ac:dyDescent="0.35">
      <c r="A25" s="3" t="s">
        <v>85</v>
      </c>
      <c r="B25" s="3" t="s">
        <v>92</v>
      </c>
      <c r="C25" s="3" t="s">
        <v>84</v>
      </c>
      <c r="D25" s="3" t="s">
        <v>10</v>
      </c>
      <c r="E25" s="3" t="s">
        <v>17</v>
      </c>
      <c r="F25" s="4" t="s">
        <v>86</v>
      </c>
      <c r="G25" s="3">
        <v>49048</v>
      </c>
      <c r="H25" s="3" t="s">
        <v>11</v>
      </c>
      <c r="I25" s="3" t="s">
        <v>93</v>
      </c>
    </row>
    <row r="26" spans="1:9" x14ac:dyDescent="0.35">
      <c r="A26" s="3" t="s">
        <v>88</v>
      </c>
      <c r="B26" s="3" t="s">
        <v>92</v>
      </c>
      <c r="C26" s="3" t="s">
        <v>87</v>
      </c>
      <c r="D26" s="3" t="s">
        <v>10</v>
      </c>
      <c r="E26" s="3" t="s">
        <v>24</v>
      </c>
      <c r="F26" s="4" t="s">
        <v>89</v>
      </c>
      <c r="G26" s="3">
        <v>49049</v>
      </c>
      <c r="H26" s="3" t="s">
        <v>11</v>
      </c>
      <c r="I26" s="3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37B4-720E-469A-AB9C-66EBE91D7CA1}">
  <dimension ref="A1:AG43"/>
  <sheetViews>
    <sheetView tabSelected="1" workbookViewId="0">
      <selection activeCell="Q18" sqref="Q18"/>
    </sheetView>
  </sheetViews>
  <sheetFormatPr defaultRowHeight="13.5" x14ac:dyDescent="0.35"/>
  <cols>
    <col min="27" max="27" width="12.875" bestFit="1" customWidth="1"/>
    <col min="28" max="28" width="16.1875" bestFit="1" customWidth="1"/>
    <col min="30" max="30" width="35.6875" bestFit="1" customWidth="1"/>
    <col min="31" max="31" width="16.1875" bestFit="1" customWidth="1"/>
    <col min="32" max="32" width="10.8125" bestFit="1" customWidth="1"/>
    <col min="33" max="34" width="10.9375" bestFit="1" customWidth="1"/>
  </cols>
  <sheetData>
    <row r="1" spans="1:33" x14ac:dyDescent="0.3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8"/>
      <c r="AA1" s="19" t="s">
        <v>97</v>
      </c>
      <c r="AB1" t="s">
        <v>99</v>
      </c>
      <c r="AD1" s="19" t="s">
        <v>99</v>
      </c>
      <c r="AE1" s="19" t="s">
        <v>100</v>
      </c>
    </row>
    <row r="2" spans="1:33" ht="20.25" x14ac:dyDescent="0.55000000000000004">
      <c r="A2" s="9"/>
      <c r="B2" s="7"/>
      <c r="C2" s="7"/>
      <c r="D2" s="10" t="s">
        <v>96</v>
      </c>
      <c r="E2" s="11"/>
      <c r="F2" s="7"/>
      <c r="G2" s="7"/>
      <c r="H2" s="7"/>
      <c r="I2" s="7"/>
      <c r="J2" s="7"/>
      <c r="K2" s="7"/>
      <c r="L2" s="7"/>
      <c r="M2" s="7"/>
      <c r="N2" s="7"/>
      <c r="O2" s="12"/>
      <c r="AA2" s="20" t="s">
        <v>30</v>
      </c>
      <c r="AB2" s="21">
        <v>2</v>
      </c>
      <c r="AD2" s="19" t="s">
        <v>97</v>
      </c>
      <c r="AE2" t="s">
        <v>92</v>
      </c>
      <c r="AF2" t="s">
        <v>91</v>
      </c>
      <c r="AG2" t="s">
        <v>98</v>
      </c>
    </row>
    <row r="3" spans="1:33" x14ac:dyDescent="0.35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2"/>
      <c r="AA3" s="20" t="s">
        <v>10</v>
      </c>
      <c r="AB3" s="21">
        <v>23</v>
      </c>
      <c r="AD3" s="20" t="s">
        <v>17</v>
      </c>
      <c r="AE3" s="21">
        <v>1</v>
      </c>
      <c r="AF3" s="21">
        <v>7</v>
      </c>
      <c r="AG3" s="21">
        <v>8</v>
      </c>
    </row>
    <row r="4" spans="1:33" x14ac:dyDescent="0.35">
      <c r="A4" s="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2"/>
      <c r="AA4" s="20" t="s">
        <v>98</v>
      </c>
      <c r="AB4" s="21">
        <v>25</v>
      </c>
      <c r="AD4" s="20" t="s">
        <v>24</v>
      </c>
      <c r="AE4" s="21">
        <v>5</v>
      </c>
      <c r="AF4" s="21">
        <v>10</v>
      </c>
      <c r="AG4" s="21">
        <v>15</v>
      </c>
    </row>
    <row r="5" spans="1:33" x14ac:dyDescent="0.35">
      <c r="A5" s="9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2"/>
      <c r="AD5" s="20" t="s">
        <v>32</v>
      </c>
      <c r="AE5" s="21"/>
      <c r="AF5" s="21">
        <v>1</v>
      </c>
      <c r="AG5" s="21">
        <v>1</v>
      </c>
    </row>
    <row r="6" spans="1:33" x14ac:dyDescent="0.3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5"/>
      <c r="AD6" s="20" t="s">
        <v>13</v>
      </c>
      <c r="AE6" s="21"/>
      <c r="AF6" s="21">
        <v>1</v>
      </c>
      <c r="AG6" s="21">
        <v>1</v>
      </c>
    </row>
    <row r="7" spans="1:33" x14ac:dyDescent="0.35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AD7" s="20" t="s">
        <v>98</v>
      </c>
      <c r="AE7" s="21">
        <v>6</v>
      </c>
      <c r="AF7" s="21">
        <v>19</v>
      </c>
      <c r="AG7" s="21">
        <v>25</v>
      </c>
    </row>
    <row r="8" spans="1:33" x14ac:dyDescent="0.35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</row>
    <row r="9" spans="1:33" x14ac:dyDescent="0.35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AA9" s="19" t="s">
        <v>97</v>
      </c>
      <c r="AB9" t="s">
        <v>99</v>
      </c>
      <c r="AD9" s="19" t="s">
        <v>97</v>
      </c>
      <c r="AE9" t="s">
        <v>99</v>
      </c>
    </row>
    <row r="10" spans="1:33" x14ac:dyDescent="0.3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AA10" s="20" t="s">
        <v>95</v>
      </c>
      <c r="AB10" s="21">
        <v>3</v>
      </c>
      <c r="AD10" s="20" t="s">
        <v>17</v>
      </c>
      <c r="AE10" s="21">
        <v>8</v>
      </c>
    </row>
    <row r="11" spans="1:33" x14ac:dyDescent="0.3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AA11" s="20" t="s">
        <v>94</v>
      </c>
      <c r="AB11" s="21">
        <v>17</v>
      </c>
      <c r="AD11" s="20" t="s">
        <v>24</v>
      </c>
      <c r="AE11" s="21">
        <v>15</v>
      </c>
    </row>
    <row r="12" spans="1:33" x14ac:dyDescent="0.3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AA12" s="20" t="s">
        <v>93</v>
      </c>
      <c r="AB12" s="21">
        <v>5</v>
      </c>
      <c r="AD12" s="20" t="s">
        <v>32</v>
      </c>
      <c r="AE12" s="21">
        <v>1</v>
      </c>
    </row>
    <row r="13" spans="1:33" x14ac:dyDescent="0.3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AA13" s="20" t="s">
        <v>98</v>
      </c>
      <c r="AB13" s="21">
        <v>25</v>
      </c>
      <c r="AD13" s="20" t="s">
        <v>13</v>
      </c>
      <c r="AE13" s="21">
        <v>1</v>
      </c>
    </row>
    <row r="14" spans="1:33" x14ac:dyDescent="0.3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AD14" s="20" t="s">
        <v>98</v>
      </c>
      <c r="AE14" s="21">
        <v>25</v>
      </c>
    </row>
    <row r="15" spans="1:33" x14ac:dyDescent="0.3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</row>
    <row r="16" spans="1:33" x14ac:dyDescent="0.3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</row>
    <row r="17" spans="1:15" x14ac:dyDescent="0.3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</row>
    <row r="18" spans="1:15" x14ac:dyDescent="0.3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</row>
    <row r="19" spans="1:15" x14ac:dyDescent="0.3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</row>
    <row r="20" spans="1:15" x14ac:dyDescent="0.3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</row>
    <row r="21" spans="1:15" x14ac:dyDescent="0.3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</row>
    <row r="22" spans="1:15" x14ac:dyDescent="0.3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</row>
    <row r="23" spans="1:15" x14ac:dyDescent="0.3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</row>
    <row r="24" spans="1:15" x14ac:dyDescent="0.3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</row>
    <row r="25" spans="1:15" x14ac:dyDescent="0.3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</row>
    <row r="26" spans="1:15" x14ac:dyDescent="0.3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</row>
    <row r="27" spans="1:15" x14ac:dyDescent="0.3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5" x14ac:dyDescent="0.3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5" x14ac:dyDescent="0.3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5" x14ac:dyDescent="0.3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5" x14ac:dyDescent="0.3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5" x14ac:dyDescent="0.3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spans="1:15" x14ac:dyDescent="0.3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</row>
    <row r="34" spans="1:15" x14ac:dyDescent="0.3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/>
    </row>
    <row r="35" spans="1:15" x14ac:dyDescent="0.3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</row>
    <row r="36" spans="1:15" x14ac:dyDescent="0.35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</row>
    <row r="37" spans="1:15" x14ac:dyDescent="0.3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</row>
    <row r="38" spans="1:15" x14ac:dyDescent="0.35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5"/>
    </row>
    <row r="39" spans="1:15" x14ac:dyDescent="0.35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5"/>
    </row>
    <row r="40" spans="1:15" x14ac:dyDescent="0.3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</row>
    <row r="41" spans="1:15" x14ac:dyDescent="0.35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5"/>
    </row>
    <row r="42" spans="1:15" x14ac:dyDescent="0.35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5"/>
    </row>
    <row r="43" spans="1:15" ht="13.9" thickBot="1" x14ac:dyDescent="0.4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8"/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 Summary(Nov 24-Nov 30)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Sanjana P</cp:lastModifiedBy>
  <cp:revision>0</cp:revision>
  <dcterms:created xsi:type="dcterms:W3CDTF">2025-12-04T14:52:35Z</dcterms:created>
  <dcterms:modified xsi:type="dcterms:W3CDTF">2025-12-04T15:21:09Z</dcterms:modified>
</cp:coreProperties>
</file>